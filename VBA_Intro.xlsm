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21075" windowHeight="8250" activeTab="5"/>
  </bookViews>
  <sheets>
    <sheet name="Sheet1" sheetId="1" r:id="rId1"/>
    <sheet name="Sheet2" sheetId="2" r:id="rId2"/>
    <sheet name="Sheet3" sheetId="3" r:id="rId3"/>
    <sheet name="Sheet4" sheetId="13" r:id="rId4"/>
    <sheet name="Sheet5" sheetId="14" r:id="rId5"/>
    <sheet name="Sheet10" sheetId="10" r:id="rId6"/>
  </sheets>
  <functionGroups builtInGroupCount="17"/>
  <definedNames>
    <definedName name="_xlnm._FilterDatabase" localSheetId="5" hidden="1">Sheet10!$A$2:$F$18</definedName>
    <definedName name="ColumnHeading">Sheet2!$A$1:$C$2</definedName>
    <definedName name="ID">Sheet2!$A$3:$A$14</definedName>
    <definedName name="ListOfGenres">Sheet5!$A$2:$A$11</definedName>
    <definedName name="Release_Date">Sheet2!$C$3:$C$14</definedName>
    <definedName name="Title">Sheet2!$B$3:$B$14</definedName>
  </definedNames>
  <calcPr calcId="145621"/>
</workbook>
</file>

<file path=xl/calcChain.xml><?xml version="1.0" encoding="utf-8"?>
<calcChain xmlns="http://schemas.openxmlformats.org/spreadsheetml/2006/main">
  <c r="I10" i="10" l="1"/>
  <c r="I11" i="10"/>
  <c r="I12" i="10"/>
  <c r="I13" i="10"/>
  <c r="H4" i="13" l="1"/>
</calcChain>
</file>

<file path=xl/comments1.xml><?xml version="1.0" encoding="utf-8"?>
<comments xmlns="http://schemas.openxmlformats.org/spreadsheetml/2006/main">
  <authors>
    <author>Yabuki-Soh, Rick</author>
  </authors>
  <commentList>
    <comment ref="C2" authorId="0">
      <text>
        <r>
          <rPr>
            <b/>
            <sz val="9"/>
            <color indexed="81"/>
            <rFont val="Tahoma"/>
            <family val="2"/>
          </rPr>
          <t>Yabuki-Soh, Rick:</t>
        </r>
        <r>
          <rPr>
            <sz val="9"/>
            <color indexed="81"/>
            <rFont val="Tahoma"/>
            <family val="2"/>
          </rPr>
          <t xml:space="preserve">
DD/MM/YYYY</t>
        </r>
      </text>
    </comment>
  </commentList>
</comments>
</file>

<file path=xl/sharedStrings.xml><?xml version="1.0" encoding="utf-8"?>
<sst xmlns="http://schemas.openxmlformats.org/spreadsheetml/2006/main" count="184" uniqueCount="70">
  <si>
    <t>The Lorax</t>
  </si>
  <si>
    <t>Wreck It Ralph</t>
  </si>
  <si>
    <t>Highest Grossing Films of 2012</t>
  </si>
  <si>
    <t>ID</t>
  </si>
  <si>
    <t>Title</t>
  </si>
  <si>
    <t>Release Date</t>
  </si>
  <si>
    <t>The Avengers</t>
  </si>
  <si>
    <t>The Dark Knight Rises</t>
  </si>
  <si>
    <t>The Hunger Games</t>
  </si>
  <si>
    <t>Skyfall</t>
  </si>
  <si>
    <t>The Hobbit</t>
  </si>
  <si>
    <t>The Twilight</t>
  </si>
  <si>
    <t>Spider-Man</t>
  </si>
  <si>
    <t>Brave</t>
  </si>
  <si>
    <t>Ted</t>
  </si>
  <si>
    <t>Madagascar 3</t>
  </si>
  <si>
    <t>Lincoln</t>
  </si>
  <si>
    <t>Gravity</t>
  </si>
  <si>
    <t>Length</t>
  </si>
  <si>
    <t>Hobbit</t>
  </si>
  <si>
    <t>The Railway Man</t>
  </si>
  <si>
    <t>angry bird</t>
  </si>
  <si>
    <t>Pokemon</t>
  </si>
  <si>
    <t>The Hobbit Unexpected</t>
  </si>
  <si>
    <t>Ted 2</t>
  </si>
  <si>
    <t>medium</t>
  </si>
  <si>
    <t>long</t>
  </si>
  <si>
    <t>short</t>
  </si>
  <si>
    <t>hi</t>
  </si>
  <si>
    <t>Action</t>
  </si>
  <si>
    <t>Adventure</t>
  </si>
  <si>
    <t>Animation</t>
  </si>
  <si>
    <t>Biography</t>
  </si>
  <si>
    <t>Comedy</t>
  </si>
  <si>
    <t>Fantasy</t>
  </si>
  <si>
    <t>Romance</t>
  </si>
  <si>
    <t>Sci-Fi</t>
  </si>
  <si>
    <t>Non-Fiction</t>
  </si>
  <si>
    <t>Genre</t>
  </si>
  <si>
    <t>hello</t>
  </si>
  <si>
    <t>bye</t>
  </si>
  <si>
    <t>konosuba</t>
  </si>
  <si>
    <t>megumin</t>
  </si>
  <si>
    <t>2h 23mins</t>
  </si>
  <si>
    <t>2h 45mins</t>
  </si>
  <si>
    <t>2h 22mins</t>
  </si>
  <si>
    <t>2h 49mins</t>
  </si>
  <si>
    <t>1h 56mins</t>
  </si>
  <si>
    <t>2h 16mins</t>
  </si>
  <si>
    <t>2h 0mins</t>
  </si>
  <si>
    <t>1h 33mins</t>
  </si>
  <si>
    <t>1h 52mins</t>
  </si>
  <si>
    <t>1h 26mins</t>
  </si>
  <si>
    <t>1h 41mins</t>
  </si>
  <si>
    <t>2h 30mins</t>
  </si>
  <si>
    <t>1h 30mins</t>
  </si>
  <si>
    <t>2h 40mins</t>
  </si>
  <si>
    <t>1h 40mins</t>
  </si>
  <si>
    <t>stop</t>
  </si>
  <si>
    <t>sgd</t>
  </si>
  <si>
    <t>gs</t>
  </si>
  <si>
    <t>Horror</t>
  </si>
  <si>
    <t>Enter film name (in I9):</t>
  </si>
  <si>
    <t>Released on:</t>
  </si>
  <si>
    <t>Genre:</t>
  </si>
  <si>
    <t>Get Out</t>
  </si>
  <si>
    <t>Rating</t>
  </si>
  <si>
    <t>SAO Ordinal Scale</t>
  </si>
  <si>
    <t>Rating (out of 5):</t>
  </si>
  <si>
    <t>Length (in minutes):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</si>
</sst>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d\ dd\ mmm\ yyyy"/>
  </numFmts>
  <fonts count="11" x14ac:knownFonts="1">
    <font>
      <sz val="11"/>
      <color theme="1"/>
      <name val="Calibri"/>
      <family val="2"/>
      <scheme val="minor"/>
    </font>
    <font>
      <sz val="14"/>
      <color rgb="FFFFFFFF"/>
      <name val="Calibri"/>
      <family val="2"/>
      <scheme val="minor"/>
    </font>
    <font>
      <sz val="11"/>
      <color rgb="FF00008B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rgb="FF0000FF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00008B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vertical="center"/>
    </xf>
    <xf numFmtId="0" fontId="2" fillId="3" borderId="0" xfId="0" applyFont="1" applyFill="1"/>
    <xf numFmtId="0" fontId="3" fillId="4" borderId="0" xfId="0" applyFont="1" applyFill="1"/>
    <xf numFmtId="0" fontId="2" fillId="4" borderId="0" xfId="0" applyFont="1" applyFill="1"/>
    <xf numFmtId="14" fontId="0" fillId="0" borderId="0" xfId="0" applyNumberFormat="1"/>
    <xf numFmtId="0" fontId="5" fillId="0" borderId="0" xfId="0" applyFont="1"/>
    <xf numFmtId="164" fontId="8" fillId="5" borderId="0" xfId="0" applyNumberFormat="1" applyFont="1" applyFill="1"/>
    <xf numFmtId="0" fontId="0" fillId="6" borderId="0" xfId="0" applyFill="1"/>
    <xf numFmtId="0" fontId="0" fillId="0" borderId="0" xfId="0" applyAlignment="1">
      <alignment horizontal="center"/>
    </xf>
    <xf numFmtId="0" fontId="0" fillId="0" borderId="1" xfId="0" applyBorder="1"/>
    <xf numFmtId="0" fontId="2" fillId="3" borderId="1" xfId="0" applyFont="1" applyFill="1" applyBorder="1"/>
    <xf numFmtId="0" fontId="3" fillId="4" borderId="1" xfId="0" applyFont="1" applyFill="1" applyBorder="1"/>
    <xf numFmtId="0" fontId="5" fillId="4" borderId="1" xfId="0" applyFont="1" applyFill="1" applyBorder="1"/>
    <xf numFmtId="164" fontId="7" fillId="5" borderId="1" xfId="0" applyNumberFormat="1" applyFont="1" applyFill="1" applyBorder="1"/>
    <xf numFmtId="0" fontId="5" fillId="0" borderId="1" xfId="0" applyFont="1" applyBorder="1"/>
    <xf numFmtId="0" fontId="0" fillId="0" borderId="0" xfId="0" applyAlignment="1"/>
    <xf numFmtId="0" fontId="5" fillId="4" borderId="1" xfId="0" applyFont="1" applyFill="1" applyBorder="1" applyAlignment="1"/>
    <xf numFmtId="0" fontId="0" fillId="0" borderId="0" xfId="0" applyAlignment="1">
      <alignment wrapText="1"/>
    </xf>
    <xf numFmtId="0" fontId="0" fillId="0" borderId="0" xfId="0" applyAlignment="1">
      <alignment textRotation="30"/>
    </xf>
    <xf numFmtId="164" fontId="6" fillId="5" borderId="1" xfId="0" applyNumberFormat="1" applyFont="1" applyFill="1" applyBorder="1"/>
    <xf numFmtId="0" fontId="0" fillId="0" borderId="0" xfId="0" applyBorder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3" fillId="7" borderId="1" xfId="0" applyFont="1" applyFill="1" applyBorder="1"/>
    <xf numFmtId="0" fontId="3" fillId="9" borderId="1" xfId="0" applyFont="1" applyFill="1" applyBorder="1"/>
    <xf numFmtId="14" fontId="0" fillId="6" borderId="1" xfId="0" applyNumberFormat="1" applyFill="1" applyBorder="1"/>
    <xf numFmtId="0" fontId="0" fillId="11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00"/>
      <color rgb="FFCCFF33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Sheet2!$D$2</c:f>
              <c:strCache>
                <c:ptCount val="1"/>
                <c:pt idx="0">
                  <c:v>Length</c:v>
                </c:pt>
              </c:strCache>
            </c:strRef>
          </c:tx>
          <c:invertIfNegative val="0"/>
          <c:cat>
            <c:strRef>
              <c:f>Sheet2!$B$3:$B$18</c:f>
              <c:strCache>
                <c:ptCount val="16"/>
                <c:pt idx="0">
                  <c:v>The Avengers</c:v>
                </c:pt>
                <c:pt idx="1">
                  <c:v>The Dark Knight Rises</c:v>
                </c:pt>
                <c:pt idx="2">
                  <c:v>The Hunger Games</c:v>
                </c:pt>
                <c:pt idx="3">
                  <c:v>Skyfall</c:v>
                </c:pt>
                <c:pt idx="4">
                  <c:v>The Hobbit</c:v>
                </c:pt>
                <c:pt idx="5">
                  <c:v>The Twilight</c:v>
                </c:pt>
                <c:pt idx="6">
                  <c:v>Spider-Man</c:v>
                </c:pt>
                <c:pt idx="7">
                  <c:v>Brave</c:v>
                </c:pt>
                <c:pt idx="8">
                  <c:v>Ted</c:v>
                </c:pt>
                <c:pt idx="9">
                  <c:v>Madagascar 3</c:v>
                </c:pt>
                <c:pt idx="10">
                  <c:v>The Lorax</c:v>
                </c:pt>
                <c:pt idx="11">
                  <c:v>Wreck It Ralph</c:v>
                </c:pt>
                <c:pt idx="12">
                  <c:v>Lincoln</c:v>
                </c:pt>
                <c:pt idx="13">
                  <c:v>Gravity</c:v>
                </c:pt>
                <c:pt idx="14">
                  <c:v>Hobbit</c:v>
                </c:pt>
                <c:pt idx="15">
                  <c:v>The Railway Man</c:v>
                </c:pt>
              </c:strCache>
            </c:strRef>
          </c:cat>
          <c:val>
            <c:numRef>
              <c:f>Sheet2!$D$3:$D$18</c:f>
              <c:numCache>
                <c:formatCode>General</c:formatCode>
                <c:ptCount val="16"/>
                <c:pt idx="0">
                  <c:v>143</c:v>
                </c:pt>
                <c:pt idx="1">
                  <c:v>165</c:v>
                </c:pt>
                <c:pt idx="2">
                  <c:v>142</c:v>
                </c:pt>
                <c:pt idx="3">
                  <c:v>143</c:v>
                </c:pt>
                <c:pt idx="4">
                  <c:v>169</c:v>
                </c:pt>
                <c:pt idx="5">
                  <c:v>116</c:v>
                </c:pt>
                <c:pt idx="6">
                  <c:v>136</c:v>
                </c:pt>
                <c:pt idx="7">
                  <c:v>93</c:v>
                </c:pt>
                <c:pt idx="8">
                  <c:v>112</c:v>
                </c:pt>
                <c:pt idx="9">
                  <c:v>93</c:v>
                </c:pt>
                <c:pt idx="10">
                  <c:v>86</c:v>
                </c:pt>
                <c:pt idx="11">
                  <c:v>101</c:v>
                </c:pt>
                <c:pt idx="12">
                  <c:v>150</c:v>
                </c:pt>
                <c:pt idx="13">
                  <c:v>90</c:v>
                </c:pt>
                <c:pt idx="14">
                  <c:v>169</c:v>
                </c:pt>
                <c:pt idx="15">
                  <c:v>160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370624"/>
        <c:axId val="51859840"/>
      </c:barChart>
      <c:catAx>
        <c:axId val="51370624"/>
        <c:scaling>
          <c:orientation val="minMax"/>
        </c:scaling>
        <c:delete val="0"/>
        <c:axPos val="b"/>
        <c:majorTickMark val="out"/>
        <c:minorTickMark val="none"/>
        <c:tickLblPos val="nextTo"/>
        <c:crossAx val="51859840"/>
        <c:crosses val="autoZero"/>
        <c:auto val="1"/>
        <c:lblAlgn val="ctr"/>
        <c:lblOffset val="100"/>
        <c:noMultiLvlLbl val="0"/>
      </c:catAx>
      <c:valAx>
        <c:axId val="5185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13706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Sheet2!$D$2</c:f>
              <c:strCache>
                <c:ptCount val="1"/>
                <c:pt idx="0">
                  <c:v>Length</c:v>
                </c:pt>
              </c:strCache>
            </c:strRef>
          </c:tx>
          <c:cat>
            <c:strRef>
              <c:f>Sheet2!$B$3:$B$18</c:f>
              <c:strCache>
                <c:ptCount val="16"/>
                <c:pt idx="0">
                  <c:v>The Avengers</c:v>
                </c:pt>
                <c:pt idx="1">
                  <c:v>The Dark Knight Rises</c:v>
                </c:pt>
                <c:pt idx="2">
                  <c:v>The Hunger Games</c:v>
                </c:pt>
                <c:pt idx="3">
                  <c:v>Skyfall</c:v>
                </c:pt>
                <c:pt idx="4">
                  <c:v>The Hobbit</c:v>
                </c:pt>
                <c:pt idx="5">
                  <c:v>The Twilight</c:v>
                </c:pt>
                <c:pt idx="6">
                  <c:v>Spider-Man</c:v>
                </c:pt>
                <c:pt idx="7">
                  <c:v>Brave</c:v>
                </c:pt>
                <c:pt idx="8">
                  <c:v>Ted</c:v>
                </c:pt>
                <c:pt idx="9">
                  <c:v>Madagascar 3</c:v>
                </c:pt>
                <c:pt idx="10">
                  <c:v>The Lorax</c:v>
                </c:pt>
                <c:pt idx="11">
                  <c:v>Wreck It Ralph</c:v>
                </c:pt>
                <c:pt idx="12">
                  <c:v>Lincoln</c:v>
                </c:pt>
                <c:pt idx="13">
                  <c:v>Gravity</c:v>
                </c:pt>
                <c:pt idx="14">
                  <c:v>Hobbit</c:v>
                </c:pt>
                <c:pt idx="15">
                  <c:v>The Railway Man</c:v>
                </c:pt>
              </c:strCache>
            </c:strRef>
          </c:cat>
          <c:val>
            <c:numRef>
              <c:f>Sheet2!$D$3:$D$18</c:f>
              <c:numCache>
                <c:formatCode>General</c:formatCode>
                <c:ptCount val="16"/>
                <c:pt idx="0">
                  <c:v>143</c:v>
                </c:pt>
                <c:pt idx="1">
                  <c:v>165</c:v>
                </c:pt>
                <c:pt idx="2">
                  <c:v>142</c:v>
                </c:pt>
                <c:pt idx="3">
                  <c:v>143</c:v>
                </c:pt>
                <c:pt idx="4">
                  <c:v>169</c:v>
                </c:pt>
                <c:pt idx="5">
                  <c:v>116</c:v>
                </c:pt>
                <c:pt idx="6">
                  <c:v>136</c:v>
                </c:pt>
                <c:pt idx="7">
                  <c:v>93</c:v>
                </c:pt>
                <c:pt idx="8">
                  <c:v>112</c:v>
                </c:pt>
                <c:pt idx="9">
                  <c:v>93</c:v>
                </c:pt>
                <c:pt idx="10">
                  <c:v>86</c:v>
                </c:pt>
                <c:pt idx="11">
                  <c:v>101</c:v>
                </c:pt>
                <c:pt idx="12">
                  <c:v>150</c:v>
                </c:pt>
                <c:pt idx="13">
                  <c:v>90</c:v>
                </c:pt>
                <c:pt idx="14">
                  <c:v>169</c:v>
                </c:pt>
                <c:pt idx="15">
                  <c:v>160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600075</xdr:colOff>
          <xdr:row>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Sheet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314325</xdr:colOff>
      <xdr:row>7</xdr:row>
      <xdr:rowOff>57150</xdr:rowOff>
    </xdr:from>
    <xdr:to>
      <xdr:col>3</xdr:col>
      <xdr:colOff>523875</xdr:colOff>
      <xdr:row>10</xdr:row>
      <xdr:rowOff>76200</xdr:rowOff>
    </xdr:to>
    <xdr:sp macro="[0]!CreateAndLabelNewSheet" textlink="">
      <xdr:nvSpPr>
        <xdr:cNvPr id="2" name="Rounded Rectangle 1"/>
        <xdr:cNvSpPr/>
      </xdr:nvSpPr>
      <xdr:spPr>
        <a:xfrm>
          <a:off x="923925" y="1390650"/>
          <a:ext cx="1428750" cy="590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Create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600075</xdr:colOff>
      <xdr:row>18</xdr:row>
      <xdr:rowOff>157162</xdr:rowOff>
    </xdr:from>
    <xdr:to>
      <xdr:col>11</xdr:col>
      <xdr:colOff>295275</xdr:colOff>
      <xdr:row>33</xdr:row>
      <xdr:rowOff>42862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18</xdr:row>
      <xdr:rowOff>157162</xdr:rowOff>
    </xdr:from>
    <xdr:to>
      <xdr:col>3</xdr:col>
      <xdr:colOff>581025</xdr:colOff>
      <xdr:row>33</xdr:row>
      <xdr:rowOff>42862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8</xdr:col>
          <xdr:colOff>9525</xdr:colOff>
          <xdr:row>4</xdr:row>
          <xdr:rowOff>171450</xdr:rowOff>
        </xdr:to>
        <xdr:sp macro="" textlink="">
          <xdr:nvSpPr>
            <xdr:cNvPr id="3077" name="btnClearComments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5121" name="cmdShowForm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F10:H22"/>
  <sheetViews>
    <sheetView workbookViewId="0">
      <selection activeCell="F10" sqref="F10"/>
    </sheetView>
  </sheetViews>
  <sheetFormatPr defaultRowHeight="15" x14ac:dyDescent="0.25"/>
  <sheetData>
    <row r="10" spans="8:8" x14ac:dyDescent="0.25">
      <c r="H10" s="9"/>
    </row>
    <row r="22" spans="6:6" x14ac:dyDescent="0.25">
      <c r="F22" s="9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ndLabelNewSheet">
                <anchor mov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2</xdr:col>
                    <xdr:colOff>600075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8"/>
  <sheetViews>
    <sheetView workbookViewId="0">
      <selection activeCell="I10" sqref="I10"/>
    </sheetView>
  </sheetViews>
  <sheetFormatPr defaultRowHeight="15" x14ac:dyDescent="0.25"/>
  <cols>
    <col min="1" max="1" width="8.140625" customWidth="1"/>
    <col min="2" max="2" width="21.7109375" customWidth="1"/>
    <col min="3" max="3" width="26.7109375" customWidth="1"/>
  </cols>
  <sheetData>
    <row r="1" spans="1:5" ht="18.75" x14ac:dyDescent="0.3">
      <c r="A1" s="23" t="s">
        <v>2</v>
      </c>
      <c r="B1" s="24"/>
      <c r="C1" s="24"/>
      <c r="D1" s="24"/>
      <c r="E1" s="25"/>
    </row>
    <row r="2" spans="1:5" x14ac:dyDescent="0.25">
      <c r="A2" s="12" t="s">
        <v>3</v>
      </c>
      <c r="B2" s="12" t="s">
        <v>4</v>
      </c>
      <c r="C2" s="12" t="s">
        <v>5</v>
      </c>
      <c r="D2" s="26" t="s">
        <v>18</v>
      </c>
      <c r="E2" s="27"/>
    </row>
    <row r="3" spans="1:5" ht="15.75" x14ac:dyDescent="0.25">
      <c r="A3" s="13">
        <v>1</v>
      </c>
      <c r="B3" s="14" t="s">
        <v>6</v>
      </c>
      <c r="C3" s="21">
        <v>41033</v>
      </c>
      <c r="D3" s="11">
        <v>143</v>
      </c>
      <c r="E3" s="11" t="s">
        <v>25</v>
      </c>
    </row>
    <row r="4" spans="1:5" ht="15.75" x14ac:dyDescent="0.25">
      <c r="A4" s="13">
        <v>2</v>
      </c>
      <c r="B4" s="14" t="s">
        <v>7</v>
      </c>
      <c r="C4" s="21">
        <v>41110</v>
      </c>
      <c r="D4" s="11">
        <v>165</v>
      </c>
      <c r="E4" s="11" t="s">
        <v>26</v>
      </c>
    </row>
    <row r="5" spans="1:5" ht="15.75" x14ac:dyDescent="0.25">
      <c r="A5" s="13">
        <v>3</v>
      </c>
      <c r="B5" s="14" t="s">
        <v>8</v>
      </c>
      <c r="C5" s="21">
        <v>40991</v>
      </c>
      <c r="D5" s="11">
        <v>142</v>
      </c>
      <c r="E5" s="11" t="s">
        <v>25</v>
      </c>
    </row>
    <row r="6" spans="1:5" ht="15.75" x14ac:dyDescent="0.25">
      <c r="A6" s="13">
        <v>4</v>
      </c>
      <c r="B6" s="14" t="s">
        <v>9</v>
      </c>
      <c r="C6" s="21">
        <v>41222</v>
      </c>
      <c r="D6" s="11">
        <v>143</v>
      </c>
      <c r="E6" s="11" t="s">
        <v>25</v>
      </c>
    </row>
    <row r="7" spans="1:5" ht="15.75" x14ac:dyDescent="0.25">
      <c r="A7" s="13">
        <v>5</v>
      </c>
      <c r="B7" s="14" t="s">
        <v>10</v>
      </c>
      <c r="C7" s="21">
        <v>41257</v>
      </c>
      <c r="D7" s="11">
        <v>169</v>
      </c>
      <c r="E7" s="11" t="s">
        <v>26</v>
      </c>
    </row>
    <row r="8" spans="1:5" ht="15.75" x14ac:dyDescent="0.25">
      <c r="A8" s="13">
        <v>6</v>
      </c>
      <c r="B8" s="14" t="s">
        <v>11</v>
      </c>
      <c r="C8" s="21">
        <v>41229</v>
      </c>
      <c r="D8" s="11">
        <v>116</v>
      </c>
      <c r="E8" s="11" t="s">
        <v>25</v>
      </c>
    </row>
    <row r="9" spans="1:5" ht="15.75" x14ac:dyDescent="0.25">
      <c r="A9" s="13">
        <v>7</v>
      </c>
      <c r="B9" s="14" t="s">
        <v>12</v>
      </c>
      <c r="C9" s="21">
        <v>41093</v>
      </c>
      <c r="D9" s="11">
        <v>136</v>
      </c>
      <c r="E9" s="11" t="s">
        <v>25</v>
      </c>
    </row>
    <row r="10" spans="1:5" ht="15.75" x14ac:dyDescent="0.25">
      <c r="A10" s="13">
        <v>8</v>
      </c>
      <c r="B10" s="14" t="s">
        <v>13</v>
      </c>
      <c r="C10" s="21">
        <v>41082</v>
      </c>
      <c r="D10" s="11">
        <v>93</v>
      </c>
      <c r="E10" s="11" t="s">
        <v>27</v>
      </c>
    </row>
    <row r="11" spans="1:5" ht="15.75" x14ac:dyDescent="0.25">
      <c r="A11" s="13">
        <v>9</v>
      </c>
      <c r="B11" s="14" t="s">
        <v>14</v>
      </c>
      <c r="C11" s="21">
        <v>41089</v>
      </c>
      <c r="D11" s="11">
        <v>112</v>
      </c>
      <c r="E11" s="11" t="s">
        <v>25</v>
      </c>
    </row>
    <row r="12" spans="1:5" ht="15.75" x14ac:dyDescent="0.25">
      <c r="A12" s="13">
        <v>10</v>
      </c>
      <c r="B12" s="14" t="s">
        <v>15</v>
      </c>
      <c r="C12" s="21">
        <v>41068</v>
      </c>
      <c r="D12" s="11">
        <v>93</v>
      </c>
      <c r="E12" s="11" t="s">
        <v>27</v>
      </c>
    </row>
    <row r="13" spans="1:5" ht="15.75" x14ac:dyDescent="0.25">
      <c r="A13" s="13">
        <v>11</v>
      </c>
      <c r="B13" s="14" t="s">
        <v>0</v>
      </c>
      <c r="C13" s="21">
        <v>40970</v>
      </c>
      <c r="D13" s="11">
        <v>86</v>
      </c>
      <c r="E13" s="11" t="s">
        <v>27</v>
      </c>
    </row>
    <row r="14" spans="1:5" ht="15.75" x14ac:dyDescent="0.25">
      <c r="A14" s="13">
        <v>12</v>
      </c>
      <c r="B14" s="14" t="s">
        <v>1</v>
      </c>
      <c r="C14" s="21">
        <v>41215</v>
      </c>
      <c r="D14" s="11">
        <v>101</v>
      </c>
      <c r="E14" s="11" t="s">
        <v>25</v>
      </c>
    </row>
    <row r="15" spans="1:5" ht="15.75" x14ac:dyDescent="0.25">
      <c r="A15" s="13">
        <v>13</v>
      </c>
      <c r="B15" s="14" t="s">
        <v>16</v>
      </c>
      <c r="C15" s="21">
        <v>41222</v>
      </c>
      <c r="D15" s="11">
        <v>150</v>
      </c>
      <c r="E15" s="11" t="s">
        <v>26</v>
      </c>
    </row>
    <row r="16" spans="1:5" ht="15.75" x14ac:dyDescent="0.25">
      <c r="A16" s="13">
        <v>14</v>
      </c>
      <c r="B16" s="16" t="s">
        <v>17</v>
      </c>
      <c r="C16" s="21">
        <v>41211</v>
      </c>
      <c r="D16" s="11">
        <v>90</v>
      </c>
      <c r="E16" s="11" t="s">
        <v>27</v>
      </c>
    </row>
    <row r="17" spans="1:5" ht="15.75" x14ac:dyDescent="0.25">
      <c r="A17" s="11">
        <v>15</v>
      </c>
      <c r="B17" s="16" t="s">
        <v>19</v>
      </c>
      <c r="C17" s="21">
        <v>41256</v>
      </c>
      <c r="D17" s="11">
        <v>169</v>
      </c>
      <c r="E17" s="11" t="s">
        <v>26</v>
      </c>
    </row>
    <row r="18" spans="1:5" ht="15.75" x14ac:dyDescent="0.25">
      <c r="A18" s="11">
        <v>16</v>
      </c>
      <c r="B18" s="16" t="s">
        <v>20</v>
      </c>
      <c r="C18" s="21">
        <v>41213</v>
      </c>
      <c r="D18" s="11">
        <v>160</v>
      </c>
      <c r="E18" s="11" t="s">
        <v>26</v>
      </c>
    </row>
  </sheetData>
  <mergeCells count="2">
    <mergeCell ref="A1:E1"/>
    <mergeCell ref="D2:E2"/>
  </mergeCells>
  <pageMargins left="0.7" right="0.7" top="0.75" bottom="0.75" header="0.3" footer="0.3"/>
  <pageSetup orientation="portrait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ovies"/>
  <dimension ref="A1:C15"/>
  <sheetViews>
    <sheetView workbookViewId="0">
      <selection activeCell="A40" sqref="A40"/>
    </sheetView>
  </sheetViews>
  <sheetFormatPr defaultRowHeight="15" x14ac:dyDescent="0.25"/>
  <cols>
    <col min="1" max="1" width="11.85546875" customWidth="1"/>
    <col min="2" max="2" width="21.7109375" customWidth="1"/>
    <col min="3" max="3" width="20.140625" customWidth="1"/>
  </cols>
  <sheetData>
    <row r="1" spans="1:3" ht="18.75" x14ac:dyDescent="0.3">
      <c r="A1" s="1" t="s">
        <v>2</v>
      </c>
      <c r="B1" s="2"/>
      <c r="C1" s="1"/>
    </row>
    <row r="2" spans="1:3" x14ac:dyDescent="0.25">
      <c r="A2" s="3" t="s">
        <v>3</v>
      </c>
      <c r="B2" s="3" t="s">
        <v>4</v>
      </c>
      <c r="C2" s="3" t="s">
        <v>5</v>
      </c>
    </row>
    <row r="3" spans="1:3" ht="15.75" x14ac:dyDescent="0.25">
      <c r="A3" s="4">
        <v>1</v>
      </c>
      <c r="B3" s="5" t="s">
        <v>6</v>
      </c>
      <c r="C3" s="8">
        <v>41033</v>
      </c>
    </row>
    <row r="4" spans="1:3" ht="15.75" x14ac:dyDescent="0.25">
      <c r="A4" s="4">
        <v>2</v>
      </c>
      <c r="B4" s="5" t="s">
        <v>7</v>
      </c>
      <c r="C4" s="8">
        <v>41110</v>
      </c>
    </row>
    <row r="5" spans="1:3" ht="15.75" x14ac:dyDescent="0.25">
      <c r="A5" s="4">
        <v>3</v>
      </c>
      <c r="B5" s="5" t="s">
        <v>8</v>
      </c>
      <c r="C5" s="8">
        <v>40991</v>
      </c>
    </row>
    <row r="6" spans="1:3" ht="15.75" x14ac:dyDescent="0.25">
      <c r="A6" s="4">
        <v>4</v>
      </c>
      <c r="B6" s="5" t="s">
        <v>9</v>
      </c>
      <c r="C6" s="8">
        <v>41222</v>
      </c>
    </row>
    <row r="7" spans="1:3" ht="15.75" x14ac:dyDescent="0.25">
      <c r="A7" s="4">
        <v>5</v>
      </c>
      <c r="B7" s="5" t="s">
        <v>10</v>
      </c>
      <c r="C7" s="8">
        <v>41257</v>
      </c>
    </row>
    <row r="8" spans="1:3" ht="15.75" x14ac:dyDescent="0.25">
      <c r="A8" s="4">
        <v>6</v>
      </c>
      <c r="B8" s="5" t="s">
        <v>11</v>
      </c>
      <c r="C8" s="8">
        <v>41229</v>
      </c>
    </row>
    <row r="9" spans="1:3" ht="15.75" x14ac:dyDescent="0.25">
      <c r="A9" s="4">
        <v>7</v>
      </c>
      <c r="B9" s="5" t="s">
        <v>12</v>
      </c>
      <c r="C9" s="8">
        <v>41093</v>
      </c>
    </row>
    <row r="10" spans="1:3" ht="15.75" x14ac:dyDescent="0.25">
      <c r="A10" s="4">
        <v>8</v>
      </c>
      <c r="B10" s="5" t="s">
        <v>13</v>
      </c>
      <c r="C10" s="8" t="s">
        <v>28</v>
      </c>
    </row>
    <row r="11" spans="1:3" ht="15.75" x14ac:dyDescent="0.25">
      <c r="A11" s="4">
        <v>9</v>
      </c>
      <c r="B11" s="5" t="s">
        <v>14</v>
      </c>
      <c r="C11" s="8">
        <v>41089</v>
      </c>
    </row>
    <row r="12" spans="1:3" ht="15.75" x14ac:dyDescent="0.25">
      <c r="A12" s="4">
        <v>10</v>
      </c>
      <c r="B12" s="5" t="s">
        <v>15</v>
      </c>
      <c r="C12" s="8">
        <v>41068</v>
      </c>
    </row>
    <row r="13" spans="1:3" ht="15.75" x14ac:dyDescent="0.25">
      <c r="A13" s="4">
        <v>11</v>
      </c>
      <c r="B13" s="5" t="s">
        <v>0</v>
      </c>
      <c r="C13" s="8">
        <v>40970</v>
      </c>
    </row>
    <row r="14" spans="1:3" ht="15.75" x14ac:dyDescent="0.25">
      <c r="A14" s="4">
        <v>12</v>
      </c>
      <c r="B14" s="5" t="s">
        <v>1</v>
      </c>
      <c r="C14" s="8">
        <v>41215</v>
      </c>
    </row>
    <row r="15" spans="1:3" ht="15.75" x14ac:dyDescent="0.25">
      <c r="A15" s="4">
        <v>13</v>
      </c>
      <c r="B15" s="5" t="s">
        <v>16</v>
      </c>
      <c r="C15" s="8">
        <v>41222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7" r:id="rId3" name="btnClearComments">
          <controlPr defaultSize="0" autoLine="0" r:id="rId4">
            <anchor moveWithCells="1">
              <from>
                <xdr:col>5</xdr:col>
                <xdr:colOff>0</xdr:colOff>
                <xdr:row>2</xdr:row>
                <xdr:rowOff>0</xdr:rowOff>
              </from>
              <to>
                <xdr:col>8</xdr:col>
                <xdr:colOff>9525</xdr:colOff>
                <xdr:row>4</xdr:row>
                <xdr:rowOff>171450</xdr:rowOff>
              </to>
            </anchor>
          </controlPr>
        </control>
      </mc:Choice>
      <mc:Fallback>
        <control shapeId="3077" r:id="rId3" name="btnClearCommen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3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I15" sqref="I15"/>
    </sheetView>
  </sheetViews>
  <sheetFormatPr defaultRowHeight="15" x14ac:dyDescent="0.25"/>
  <cols>
    <col min="2" max="2" width="22.28515625" bestFit="1" customWidth="1"/>
    <col min="3" max="3" width="24.85546875" bestFit="1" customWidth="1"/>
    <col min="4" max="4" width="7" bestFit="1" customWidth="1"/>
    <col min="5" max="5" width="14.7109375" bestFit="1" customWidth="1"/>
    <col min="8" max="8" width="9.5703125" bestFit="1" customWidth="1"/>
    <col min="9" max="9" width="11.7109375" customWidth="1"/>
  </cols>
  <sheetData>
    <row r="1" spans="1:10" ht="18.75" x14ac:dyDescent="0.3">
      <c r="A1" s="23" t="s">
        <v>2</v>
      </c>
      <c r="B1" s="24"/>
      <c r="C1" s="24"/>
      <c r="D1" s="24"/>
      <c r="E1" s="25"/>
    </row>
    <row r="2" spans="1:10" x14ac:dyDescent="0.25">
      <c r="A2" s="12" t="s">
        <v>3</v>
      </c>
      <c r="B2" s="12" t="s">
        <v>4</v>
      </c>
      <c r="C2" s="12" t="s">
        <v>5</v>
      </c>
      <c r="D2" s="26" t="s">
        <v>18</v>
      </c>
      <c r="E2" s="27"/>
      <c r="F2" s="10"/>
    </row>
    <row r="3" spans="1:10" ht="15.75" x14ac:dyDescent="0.25">
      <c r="A3" s="13">
        <v>1</v>
      </c>
      <c r="B3" s="18" t="s">
        <v>6</v>
      </c>
      <c r="C3" s="15">
        <v>41033</v>
      </c>
      <c r="D3" s="11">
        <v>143</v>
      </c>
      <c r="E3" s="11" t="s">
        <v>43</v>
      </c>
    </row>
    <row r="4" spans="1:10" ht="15.75" x14ac:dyDescent="0.25">
      <c r="A4" s="13">
        <v>2</v>
      </c>
      <c r="B4" s="14" t="s">
        <v>7</v>
      </c>
      <c r="C4" s="15">
        <v>41110</v>
      </c>
      <c r="D4" s="11">
        <v>165</v>
      </c>
      <c r="E4" s="11" t="s">
        <v>44</v>
      </c>
      <c r="H4">
        <f>SUM($D$3:$D$9)</f>
        <v>1014</v>
      </c>
    </row>
    <row r="5" spans="1:10" ht="15.75" x14ac:dyDescent="0.25">
      <c r="A5" s="13">
        <v>3</v>
      </c>
      <c r="B5" s="14" t="s">
        <v>8</v>
      </c>
      <c r="C5" s="15">
        <v>40991</v>
      </c>
      <c r="D5" s="11">
        <v>142</v>
      </c>
      <c r="E5" s="11" t="s">
        <v>45</v>
      </c>
      <c r="H5" t="s">
        <v>59</v>
      </c>
    </row>
    <row r="6" spans="1:10" ht="15.75" x14ac:dyDescent="0.25">
      <c r="A6" s="13">
        <v>4</v>
      </c>
      <c r="B6" s="14" t="s">
        <v>9</v>
      </c>
      <c r="C6" s="15">
        <v>41222</v>
      </c>
      <c r="D6" s="11">
        <v>143</v>
      </c>
      <c r="E6" s="11" t="s">
        <v>43</v>
      </c>
      <c r="H6" t="s">
        <v>59</v>
      </c>
    </row>
    <row r="7" spans="1:10" ht="15.75" x14ac:dyDescent="0.25">
      <c r="A7" s="13">
        <v>5</v>
      </c>
      <c r="B7" s="14" t="s">
        <v>23</v>
      </c>
      <c r="C7" s="15">
        <v>41257</v>
      </c>
      <c r="D7" s="11">
        <v>169</v>
      </c>
      <c r="E7" s="11" t="s">
        <v>46</v>
      </c>
      <c r="H7" t="s">
        <v>60</v>
      </c>
    </row>
    <row r="8" spans="1:10" ht="15.75" x14ac:dyDescent="0.25">
      <c r="A8" s="13">
        <v>6</v>
      </c>
      <c r="B8" s="14" t="s">
        <v>11</v>
      </c>
      <c r="C8" s="15">
        <v>41229</v>
      </c>
      <c r="D8" s="11">
        <v>116</v>
      </c>
      <c r="E8" s="11" t="s">
        <v>47</v>
      </c>
      <c r="H8" t="s">
        <v>59</v>
      </c>
    </row>
    <row r="9" spans="1:10" ht="15.75" x14ac:dyDescent="0.25">
      <c r="A9" s="13">
        <v>7</v>
      </c>
      <c r="B9" s="14" t="s">
        <v>12</v>
      </c>
      <c r="C9" s="15">
        <v>41093</v>
      </c>
      <c r="D9" s="11">
        <v>136</v>
      </c>
      <c r="E9" s="11" t="s">
        <v>48</v>
      </c>
      <c r="H9" t="s">
        <v>22</v>
      </c>
      <c r="I9" s="6">
        <v>41228</v>
      </c>
      <c r="J9">
        <v>90</v>
      </c>
    </row>
    <row r="10" spans="1:10" ht="15.75" x14ac:dyDescent="0.25">
      <c r="A10" s="13">
        <v>8</v>
      </c>
      <c r="B10" s="14" t="s">
        <v>24</v>
      </c>
      <c r="C10" s="15">
        <v>42184</v>
      </c>
      <c r="D10" s="11">
        <v>120</v>
      </c>
      <c r="E10" s="11" t="s">
        <v>49</v>
      </c>
      <c r="H10" t="s">
        <v>59</v>
      </c>
      <c r="I10" s="6"/>
    </row>
    <row r="11" spans="1:10" ht="15.75" x14ac:dyDescent="0.25">
      <c r="A11" s="13">
        <v>9</v>
      </c>
      <c r="B11" s="14" t="s">
        <v>13</v>
      </c>
      <c r="C11" s="15">
        <v>41082</v>
      </c>
      <c r="D11" s="11">
        <v>93</v>
      </c>
      <c r="E11" s="11" t="s">
        <v>50</v>
      </c>
      <c r="H11" t="s">
        <v>39</v>
      </c>
    </row>
    <row r="12" spans="1:10" ht="15.75" x14ac:dyDescent="0.25">
      <c r="A12" s="13">
        <v>10</v>
      </c>
      <c r="B12" s="14" t="s">
        <v>14</v>
      </c>
      <c r="C12" s="15">
        <v>41089</v>
      </c>
      <c r="D12" s="11">
        <v>112</v>
      </c>
      <c r="E12" s="11" t="s">
        <v>51</v>
      </c>
      <c r="H12" t="s">
        <v>40</v>
      </c>
    </row>
    <row r="13" spans="1:10" ht="15.75" x14ac:dyDescent="0.25">
      <c r="A13" s="13">
        <v>11</v>
      </c>
      <c r="B13" s="14" t="s">
        <v>15</v>
      </c>
      <c r="C13" s="15">
        <v>41068</v>
      </c>
      <c r="D13" s="11">
        <v>93</v>
      </c>
      <c r="E13" s="11" t="s">
        <v>50</v>
      </c>
      <c r="H13" t="s">
        <v>41</v>
      </c>
    </row>
    <row r="14" spans="1:10" ht="15.75" x14ac:dyDescent="0.25">
      <c r="A14" s="13">
        <v>12</v>
      </c>
      <c r="B14" s="14" t="s">
        <v>0</v>
      </c>
      <c r="C14" s="15">
        <v>40970</v>
      </c>
      <c r="D14" s="11">
        <v>86</v>
      </c>
      <c r="E14" s="11" t="s">
        <v>52</v>
      </c>
      <c r="G14" s="17"/>
      <c r="H14" t="s">
        <v>42</v>
      </c>
    </row>
    <row r="15" spans="1:10" ht="15.75" x14ac:dyDescent="0.25">
      <c r="A15" s="13">
        <v>13</v>
      </c>
      <c r="B15" s="14" t="s">
        <v>1</v>
      </c>
      <c r="C15" s="15">
        <v>41215</v>
      </c>
      <c r="D15" s="11">
        <v>101</v>
      </c>
      <c r="E15" s="11" t="s">
        <v>53</v>
      </c>
    </row>
    <row r="16" spans="1:10" ht="15.75" x14ac:dyDescent="0.25">
      <c r="A16" s="13">
        <v>14</v>
      </c>
      <c r="B16" s="14" t="s">
        <v>16</v>
      </c>
      <c r="C16" s="15">
        <v>41222</v>
      </c>
      <c r="D16" s="11">
        <v>150</v>
      </c>
      <c r="E16" s="11" t="s">
        <v>54</v>
      </c>
    </row>
    <row r="17" spans="1:5" ht="15.75" x14ac:dyDescent="0.25">
      <c r="A17" s="13">
        <v>15</v>
      </c>
      <c r="B17" s="16" t="s">
        <v>17</v>
      </c>
      <c r="C17" s="15">
        <v>41211</v>
      </c>
      <c r="D17" s="11">
        <v>90</v>
      </c>
      <c r="E17" s="11" t="s">
        <v>55</v>
      </c>
    </row>
    <row r="18" spans="1:5" ht="15.75" x14ac:dyDescent="0.25">
      <c r="A18" s="11">
        <v>16</v>
      </c>
      <c r="B18" s="16" t="s">
        <v>19</v>
      </c>
      <c r="C18" s="15">
        <v>41256</v>
      </c>
      <c r="D18" s="11">
        <v>169</v>
      </c>
      <c r="E18" s="11" t="s">
        <v>46</v>
      </c>
    </row>
    <row r="19" spans="1:5" ht="15.75" x14ac:dyDescent="0.25">
      <c r="A19" s="11">
        <v>17</v>
      </c>
      <c r="B19" s="16" t="s">
        <v>20</v>
      </c>
      <c r="C19" s="15">
        <v>41213</v>
      </c>
      <c r="D19" s="11">
        <v>160</v>
      </c>
      <c r="E19" s="11" t="s">
        <v>56</v>
      </c>
    </row>
    <row r="20" spans="1:5" ht="15.75" x14ac:dyDescent="0.25">
      <c r="A20" s="11">
        <v>18</v>
      </c>
      <c r="B20" s="11" t="s">
        <v>21</v>
      </c>
      <c r="C20" s="15">
        <v>41031</v>
      </c>
      <c r="D20" s="11">
        <v>100</v>
      </c>
      <c r="E20" s="11" t="s">
        <v>57</v>
      </c>
    </row>
    <row r="21" spans="1:5" ht="15.75" x14ac:dyDescent="0.25">
      <c r="A21" s="11">
        <v>19</v>
      </c>
      <c r="B21" s="11" t="s">
        <v>22</v>
      </c>
      <c r="C21" s="15">
        <v>41228</v>
      </c>
      <c r="D21" s="11">
        <v>90</v>
      </c>
      <c r="E21" s="11" t="s">
        <v>55</v>
      </c>
    </row>
    <row r="22" spans="1:5" ht="15.75" customHeight="1" x14ac:dyDescent="0.25">
      <c r="A22" s="28" t="s">
        <v>58</v>
      </c>
      <c r="B22" s="29"/>
      <c r="C22" s="29"/>
      <c r="D22" s="29"/>
      <c r="E22" s="30"/>
    </row>
    <row r="23" spans="1:5" ht="15.75" x14ac:dyDescent="0.25">
      <c r="A23" s="11">
        <v>21</v>
      </c>
      <c r="B23" s="11" t="s">
        <v>22</v>
      </c>
      <c r="C23" s="15">
        <v>41230</v>
      </c>
      <c r="D23" s="11">
        <v>92</v>
      </c>
      <c r="E23" s="11" t="s">
        <v>55</v>
      </c>
    </row>
    <row r="24" spans="1:5" ht="15.75" x14ac:dyDescent="0.25">
      <c r="A24" s="11">
        <v>22</v>
      </c>
      <c r="B24" s="11" t="s">
        <v>22</v>
      </c>
      <c r="C24" s="15">
        <v>41231</v>
      </c>
      <c r="D24" s="11">
        <v>93</v>
      </c>
      <c r="E24" s="11" t="s">
        <v>55</v>
      </c>
    </row>
    <row r="25" spans="1:5" ht="15.75" x14ac:dyDescent="0.25">
      <c r="A25" s="11">
        <v>23</v>
      </c>
      <c r="B25" s="11" t="s">
        <v>22</v>
      </c>
      <c r="C25" s="15">
        <v>41232</v>
      </c>
      <c r="D25" s="11">
        <v>94</v>
      </c>
      <c r="E25" s="11" t="s">
        <v>55</v>
      </c>
    </row>
    <row r="26" spans="1:5" ht="15.75" x14ac:dyDescent="0.25">
      <c r="A26" s="11">
        <v>24</v>
      </c>
      <c r="B26" s="11" t="s">
        <v>22</v>
      </c>
      <c r="C26" s="15">
        <v>41233</v>
      </c>
      <c r="D26" s="11">
        <v>95</v>
      </c>
      <c r="E26" s="11" t="s">
        <v>55</v>
      </c>
    </row>
    <row r="27" spans="1:5" ht="15.75" x14ac:dyDescent="0.25">
      <c r="A27" s="11">
        <v>25</v>
      </c>
      <c r="B27" s="11" t="s">
        <v>22</v>
      </c>
      <c r="C27" s="15">
        <v>41234</v>
      </c>
      <c r="D27" s="11">
        <v>96</v>
      </c>
      <c r="E27" s="11" t="s">
        <v>55</v>
      </c>
    </row>
    <row r="28" spans="1:5" ht="15.75" x14ac:dyDescent="0.25">
      <c r="A28" s="11">
        <v>26</v>
      </c>
      <c r="B28" s="11" t="s">
        <v>22</v>
      </c>
      <c r="C28" s="15">
        <v>41235</v>
      </c>
      <c r="D28" s="11">
        <v>97</v>
      </c>
      <c r="E28" s="11" t="s">
        <v>55</v>
      </c>
    </row>
    <row r="29" spans="1:5" ht="15.75" x14ac:dyDescent="0.25">
      <c r="A29" s="11">
        <v>27</v>
      </c>
      <c r="B29" s="11" t="s">
        <v>22</v>
      </c>
      <c r="C29" s="15">
        <v>41236</v>
      </c>
      <c r="D29" s="11">
        <v>98</v>
      </c>
      <c r="E29" s="11" t="s">
        <v>55</v>
      </c>
    </row>
    <row r="30" spans="1:5" ht="15.75" x14ac:dyDescent="0.25">
      <c r="A30" s="11">
        <v>28</v>
      </c>
      <c r="B30" s="11" t="s">
        <v>22</v>
      </c>
      <c r="C30" s="15">
        <v>41237</v>
      </c>
      <c r="D30" s="11">
        <v>99</v>
      </c>
      <c r="E30" s="11" t="s">
        <v>55</v>
      </c>
    </row>
    <row r="31" spans="1:5" ht="15.75" x14ac:dyDescent="0.25">
      <c r="A31" s="11">
        <v>29</v>
      </c>
      <c r="B31" s="11" t="s">
        <v>22</v>
      </c>
      <c r="C31" s="15">
        <v>41238</v>
      </c>
      <c r="D31" s="11">
        <v>100</v>
      </c>
      <c r="E31" s="11" t="s">
        <v>55</v>
      </c>
    </row>
    <row r="32" spans="1:5" ht="15.75" x14ac:dyDescent="0.25">
      <c r="A32" s="11">
        <v>30</v>
      </c>
      <c r="B32" s="11" t="s">
        <v>22</v>
      </c>
      <c r="C32" s="15">
        <v>41239</v>
      </c>
      <c r="D32" s="11">
        <v>101</v>
      </c>
      <c r="E32" s="11" t="s">
        <v>55</v>
      </c>
    </row>
  </sheetData>
  <mergeCells count="3">
    <mergeCell ref="A1:E1"/>
    <mergeCell ref="D2:E2"/>
    <mergeCell ref="A22:E2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B19"/>
  <sheetViews>
    <sheetView workbookViewId="0">
      <selection activeCell="A12" sqref="A12"/>
    </sheetView>
  </sheetViews>
  <sheetFormatPr defaultRowHeight="15" x14ac:dyDescent="0.25"/>
  <cols>
    <col min="1" max="1" width="16.28515625" customWidth="1"/>
    <col min="2" max="2" width="30.28515625" customWidth="1"/>
    <col min="3" max="3" width="24.85546875" customWidth="1"/>
  </cols>
  <sheetData>
    <row r="2" spans="1:1" x14ac:dyDescent="0.25">
      <c r="A2" t="s">
        <v>29</v>
      </c>
    </row>
    <row r="3" spans="1:1" x14ac:dyDescent="0.25">
      <c r="A3" t="s">
        <v>30</v>
      </c>
    </row>
    <row r="4" spans="1:1" x14ac:dyDescent="0.25">
      <c r="A4" t="s">
        <v>31</v>
      </c>
    </row>
    <row r="5" spans="1:1" x14ac:dyDescent="0.25">
      <c r="A5" t="s">
        <v>32</v>
      </c>
    </row>
    <row r="6" spans="1:1" x14ac:dyDescent="0.25">
      <c r="A6" t="s">
        <v>33</v>
      </c>
    </row>
    <row r="7" spans="1:1" x14ac:dyDescent="0.25">
      <c r="A7" t="s">
        <v>34</v>
      </c>
    </row>
    <row r="8" spans="1:1" x14ac:dyDescent="0.25">
      <c r="A8" t="s">
        <v>61</v>
      </c>
    </row>
    <row r="9" spans="1:1" x14ac:dyDescent="0.25">
      <c r="A9" t="s">
        <v>37</v>
      </c>
    </row>
    <row r="10" spans="1:1" x14ac:dyDescent="0.25">
      <c r="A10" t="s">
        <v>35</v>
      </c>
    </row>
    <row r="11" spans="1:1" x14ac:dyDescent="0.25">
      <c r="A11" t="s">
        <v>36</v>
      </c>
    </row>
    <row r="17" spans="2:2" x14ac:dyDescent="0.25">
      <c r="B17" s="7"/>
    </row>
    <row r="18" spans="2:2" x14ac:dyDescent="0.25">
      <c r="B18" s="7"/>
    </row>
    <row r="19" spans="2:2" x14ac:dyDescent="0.25">
      <c r="B19" s="7"/>
    </row>
  </sheetData>
  <sortState ref="A2:A11">
    <sortCondition ref="A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J18"/>
  <sheetViews>
    <sheetView tabSelected="1" zoomScaleNormal="100" workbookViewId="0">
      <selection activeCell="I24" sqref="I24"/>
    </sheetView>
  </sheetViews>
  <sheetFormatPr defaultRowHeight="15" x14ac:dyDescent="0.25"/>
  <cols>
    <col min="1" max="1" width="8.5703125" customWidth="1"/>
    <col min="2" max="2" width="20.42578125" bestFit="1" customWidth="1"/>
    <col min="3" max="3" width="14.85546875" bestFit="1" customWidth="1"/>
    <col min="4" max="4" width="9.28515625" bestFit="1" customWidth="1"/>
    <col min="5" max="5" width="10.42578125" bestFit="1" customWidth="1"/>
    <col min="8" max="8" width="21.7109375" bestFit="1" customWidth="1"/>
    <col min="9" max="9" width="27.5703125" customWidth="1"/>
    <col min="10" max="10" width="13.140625" customWidth="1"/>
    <col min="11" max="11" width="13.5703125" customWidth="1"/>
  </cols>
  <sheetData>
    <row r="1" spans="1:10" ht="18.75" x14ac:dyDescent="0.3">
      <c r="A1" s="31" t="s">
        <v>2</v>
      </c>
      <c r="B1" s="31"/>
      <c r="C1" s="31"/>
      <c r="D1" s="31"/>
      <c r="E1" s="31"/>
      <c r="F1" s="31"/>
    </row>
    <row r="2" spans="1:10" x14ac:dyDescent="0.25">
      <c r="A2" s="12" t="s">
        <v>3</v>
      </c>
      <c r="B2" s="12" t="s">
        <v>4</v>
      </c>
      <c r="C2" s="12" t="s">
        <v>5</v>
      </c>
      <c r="D2" s="12" t="s">
        <v>18</v>
      </c>
      <c r="E2" s="12" t="s">
        <v>38</v>
      </c>
      <c r="F2" s="12" t="s">
        <v>66</v>
      </c>
    </row>
    <row r="3" spans="1:10" x14ac:dyDescent="0.25">
      <c r="A3" s="36">
        <v>1</v>
      </c>
      <c r="B3" s="37" t="s">
        <v>6</v>
      </c>
      <c r="C3" s="38">
        <v>41033</v>
      </c>
      <c r="D3" s="32">
        <v>143</v>
      </c>
      <c r="E3" s="39" t="s">
        <v>29</v>
      </c>
      <c r="F3" s="34">
        <v>4.5</v>
      </c>
    </row>
    <row r="4" spans="1:10" x14ac:dyDescent="0.25">
      <c r="A4" s="36">
        <v>2</v>
      </c>
      <c r="B4" s="37" t="s">
        <v>7</v>
      </c>
      <c r="C4" s="38">
        <v>41110</v>
      </c>
      <c r="D4" s="32">
        <v>165</v>
      </c>
      <c r="E4" s="35" t="s">
        <v>29</v>
      </c>
      <c r="F4" s="34">
        <v>3</v>
      </c>
    </row>
    <row r="5" spans="1:10" x14ac:dyDescent="0.25">
      <c r="A5" s="36">
        <v>3</v>
      </c>
      <c r="B5" s="37" t="s">
        <v>8</v>
      </c>
      <c r="C5" s="38">
        <v>40991</v>
      </c>
      <c r="D5" s="32">
        <v>142</v>
      </c>
      <c r="E5" s="35" t="s">
        <v>30</v>
      </c>
      <c r="F5" s="34">
        <v>4</v>
      </c>
    </row>
    <row r="6" spans="1:10" x14ac:dyDescent="0.25">
      <c r="A6" s="36">
        <v>4</v>
      </c>
      <c r="B6" s="37" t="s">
        <v>9</v>
      </c>
      <c r="C6" s="38">
        <v>41222</v>
      </c>
      <c r="D6" s="32">
        <v>143</v>
      </c>
      <c r="E6" s="35" t="s">
        <v>29</v>
      </c>
      <c r="F6" s="34">
        <v>5</v>
      </c>
    </row>
    <row r="7" spans="1:10" x14ac:dyDescent="0.25">
      <c r="A7" s="36">
        <v>5</v>
      </c>
      <c r="B7" s="37" t="s">
        <v>10</v>
      </c>
      <c r="C7" s="38">
        <v>41257</v>
      </c>
      <c r="D7" s="32">
        <v>169</v>
      </c>
      <c r="E7" s="35" t="s">
        <v>34</v>
      </c>
      <c r="F7" s="34">
        <v>3</v>
      </c>
    </row>
    <row r="8" spans="1:10" x14ac:dyDescent="0.25">
      <c r="A8" s="36">
        <v>6</v>
      </c>
      <c r="B8" s="37" t="s">
        <v>11</v>
      </c>
      <c r="C8" s="38">
        <v>41229</v>
      </c>
      <c r="D8" s="32">
        <v>116</v>
      </c>
      <c r="E8" s="35" t="s">
        <v>34</v>
      </c>
      <c r="F8" s="34">
        <v>1</v>
      </c>
      <c r="G8" s="22"/>
    </row>
    <row r="9" spans="1:10" x14ac:dyDescent="0.25">
      <c r="A9" s="36">
        <v>7</v>
      </c>
      <c r="B9" s="37" t="s">
        <v>12</v>
      </c>
      <c r="C9" s="38">
        <v>41093</v>
      </c>
      <c r="D9" s="32">
        <v>136</v>
      </c>
      <c r="E9" s="35" t="s">
        <v>29</v>
      </c>
      <c r="F9" s="34">
        <v>4</v>
      </c>
      <c r="G9" s="22"/>
      <c r="H9" t="s">
        <v>62</v>
      </c>
      <c r="I9" t="s">
        <v>14</v>
      </c>
    </row>
    <row r="10" spans="1:10" x14ac:dyDescent="0.25">
      <c r="A10" s="36">
        <v>8</v>
      </c>
      <c r="B10" s="37" t="s">
        <v>13</v>
      </c>
      <c r="C10" s="38">
        <v>41082</v>
      </c>
      <c r="D10" s="32">
        <v>93</v>
      </c>
      <c r="E10" s="35" t="s">
        <v>31</v>
      </c>
      <c r="F10" s="34">
        <v>3.5</v>
      </c>
      <c r="G10" s="22"/>
      <c r="H10" t="s">
        <v>63</v>
      </c>
      <c r="I10">
        <f>VLOOKUP(I9,B3:C18,2,FALSE)</f>
        <v>41089</v>
      </c>
    </row>
    <row r="11" spans="1:10" x14ac:dyDescent="0.25">
      <c r="A11" s="36">
        <v>9</v>
      </c>
      <c r="B11" s="37" t="s">
        <v>14</v>
      </c>
      <c r="C11" s="38">
        <v>41089</v>
      </c>
      <c r="D11" s="32">
        <v>112</v>
      </c>
      <c r="E11" s="35" t="s">
        <v>33</v>
      </c>
      <c r="F11" s="34">
        <v>4</v>
      </c>
      <c r="G11" s="22"/>
      <c r="H11" t="s">
        <v>69</v>
      </c>
      <c r="I11">
        <f>VLOOKUP(I9,B3:D18,3,FALSE)</f>
        <v>112</v>
      </c>
    </row>
    <row r="12" spans="1:10" x14ac:dyDescent="0.25">
      <c r="A12" s="36">
        <v>10</v>
      </c>
      <c r="B12" s="37" t="s">
        <v>15</v>
      </c>
      <c r="C12" s="38">
        <v>41068</v>
      </c>
      <c r="D12" s="32">
        <v>93</v>
      </c>
      <c r="E12" s="35" t="s">
        <v>31</v>
      </c>
      <c r="F12" s="34">
        <v>4</v>
      </c>
      <c r="G12" s="22"/>
      <c r="H12" t="s">
        <v>64</v>
      </c>
      <c r="I12" s="19" t="str">
        <f>VLOOKUP(I9,B3:E18,4,FALSE)</f>
        <v>Comedy</v>
      </c>
      <c r="J12" s="19"/>
    </row>
    <row r="13" spans="1:10" x14ac:dyDescent="0.25">
      <c r="A13" s="36">
        <v>11</v>
      </c>
      <c r="B13" s="37" t="s">
        <v>0</v>
      </c>
      <c r="C13" s="38">
        <v>40970</v>
      </c>
      <c r="D13" s="32">
        <v>86</v>
      </c>
      <c r="E13" s="35" t="s">
        <v>31</v>
      </c>
      <c r="F13" s="34">
        <v>4</v>
      </c>
      <c r="G13" s="22"/>
      <c r="H13" t="s">
        <v>68</v>
      </c>
      <c r="I13">
        <f>VLOOKUP(I9,B3:F18,5,FALSE)</f>
        <v>4</v>
      </c>
    </row>
    <row r="14" spans="1:10" x14ac:dyDescent="0.25">
      <c r="A14" s="36">
        <v>12</v>
      </c>
      <c r="B14" s="37" t="s">
        <v>1</v>
      </c>
      <c r="C14" s="38">
        <v>41215</v>
      </c>
      <c r="D14" s="32">
        <v>101</v>
      </c>
      <c r="E14" s="35" t="s">
        <v>31</v>
      </c>
      <c r="F14" s="34">
        <v>4</v>
      </c>
      <c r="G14" s="22"/>
    </row>
    <row r="15" spans="1:10" x14ac:dyDescent="0.25">
      <c r="A15" s="36">
        <v>13</v>
      </c>
      <c r="B15" s="37" t="s">
        <v>16</v>
      </c>
      <c r="C15" s="38">
        <v>41222</v>
      </c>
      <c r="D15" s="32">
        <v>150</v>
      </c>
      <c r="E15" s="35" t="s">
        <v>32</v>
      </c>
      <c r="F15" s="34">
        <v>4</v>
      </c>
      <c r="G15" s="22"/>
    </row>
    <row r="16" spans="1:10" x14ac:dyDescent="0.25">
      <c r="A16" s="36">
        <v>14</v>
      </c>
      <c r="B16" s="37" t="s">
        <v>22</v>
      </c>
      <c r="C16" s="38">
        <v>42771</v>
      </c>
      <c r="D16" s="32">
        <v>100</v>
      </c>
      <c r="E16" s="35" t="s">
        <v>31</v>
      </c>
      <c r="F16" s="34">
        <v>3.5</v>
      </c>
    </row>
    <row r="17" spans="1:8" x14ac:dyDescent="0.25">
      <c r="A17" s="36">
        <v>15</v>
      </c>
      <c r="B17" s="37" t="s">
        <v>65</v>
      </c>
      <c r="C17" s="38">
        <v>42790</v>
      </c>
      <c r="D17" s="32">
        <v>112</v>
      </c>
      <c r="E17" s="35" t="s">
        <v>61</v>
      </c>
      <c r="F17" s="34">
        <v>4</v>
      </c>
    </row>
    <row r="18" spans="1:8" x14ac:dyDescent="0.25">
      <c r="A18" s="36">
        <v>16</v>
      </c>
      <c r="B18" s="33" t="s">
        <v>67</v>
      </c>
      <c r="C18" s="38">
        <v>42795</v>
      </c>
      <c r="D18" s="32">
        <v>115</v>
      </c>
      <c r="E18" s="35" t="s">
        <v>31</v>
      </c>
      <c r="F18" s="34">
        <v>4</v>
      </c>
      <c r="H18" s="20"/>
    </row>
  </sheetData>
  <autoFilter ref="A2:F18"/>
  <sortState ref="A3:E16">
    <sortCondition ref="A3:A16"/>
  </sortState>
  <mergeCells count="1">
    <mergeCell ref="A1:F1"/>
  </mergeCells>
  <pageMargins left="0.7" right="0.7" top="0.75" bottom="0.75" header="0.3" footer="0.3"/>
  <pageSetup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5121" r:id="rId4" name="cmdShowForm">
          <controlPr autoLine="0" r:id="rId5">
            <anchor moveWithCells="1">
              <from>
                <xdr:col>8</xdr:col>
                <xdr:colOff>0</xdr:colOff>
                <xdr:row>3</xdr:row>
                <xdr:rowOff>0</xdr:rowOff>
              </from>
              <to>
                <xdr:col>9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1" r:id="rId4" name="cmdShowFor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Sheet1</vt:lpstr>
      <vt:lpstr>Sheet2</vt:lpstr>
      <vt:lpstr>Sheet3</vt:lpstr>
      <vt:lpstr>Sheet4</vt:lpstr>
      <vt:lpstr>Sheet5</vt:lpstr>
      <vt:lpstr>Sheet10</vt:lpstr>
      <vt:lpstr>ColumnHeading</vt:lpstr>
      <vt:lpstr>ID</vt:lpstr>
      <vt:lpstr>ListOfGenres</vt:lpstr>
      <vt:lpstr>Release_Date</vt:lpstr>
      <vt:lpstr>Title</vt:lpstr>
    </vt:vector>
  </TitlesOfParts>
  <Company>BMO Financial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Yabuki-Soh, Rick</dc:creator>
  <cp:lastModifiedBy>Yabuki-Soh, Rick</cp:lastModifiedBy>
  <dcterms:created xsi:type="dcterms:W3CDTF">2017-02-27T17:45:40Z</dcterms:created>
  <dcterms:modified xsi:type="dcterms:W3CDTF">2017-03-10T21:02:18Z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CreateAndLabelNewSheet_1" visible="true" label="CreateAndLabelNewSheet" imageMso="AppointmentColor6" onAction="CreateAndLabelNewSheet"/>
      </mso:documentControls>
    </mso:qat>
  </mso:ribbon>
</mso:customUI>
</file>